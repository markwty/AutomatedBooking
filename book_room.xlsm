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TEMP.Matthew-PC\Desktop\book\"/>
    </mc:Choice>
  </mc:AlternateContent>
  <xr:revisionPtr revIDLastSave="0" documentId="13_ncr:1_{A8BB3E0B-DA69-43F4-B407-33495F8A85CC}" xr6:coauthVersionLast="44" xr6:coauthVersionMax="44" xr10:uidLastSave="{00000000-0000-0000-0000-000000000000}"/>
  <bookViews>
    <workbookView xWindow="255" yWindow="885" windowWidth="15390" windowHeight="7905" xr2:uid="{70A51657-861A-4EF6-B259-99F6BC00BC8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1" l="1"/>
  <c r="F3" i="1"/>
  <c r="E4" i="1"/>
  <c r="F4" i="1"/>
  <c r="E5" i="1"/>
  <c r="F5" i="1"/>
  <c r="E6" i="1"/>
  <c r="F6" i="1"/>
  <c r="E7" i="1"/>
  <c r="F7" i="1"/>
  <c r="E8" i="1"/>
  <c r="F8" i="1"/>
  <c r="F2" i="1"/>
  <c r="E2" i="1"/>
  <c r="B10" i="1" l="1"/>
  <c r="B9" i="1"/>
</calcChain>
</file>

<file path=xl/sharedStrings.xml><?xml version="1.0" encoding="utf-8"?>
<sst xmlns="http://schemas.openxmlformats.org/spreadsheetml/2006/main" count="20" uniqueCount="18">
  <si>
    <t>Start</t>
  </si>
  <si>
    <t>End</t>
  </si>
  <si>
    <t>Session</t>
  </si>
  <si>
    <t>No. of hours</t>
  </si>
  <si>
    <t>Sessions</t>
  </si>
  <si>
    <t>Valid</t>
  </si>
  <si>
    <t>C4-02-04</t>
  </si>
  <si>
    <t>C4-02-05</t>
  </si>
  <si>
    <t>C4-02-07</t>
  </si>
  <si>
    <t>C4-02-08</t>
  </si>
  <si>
    <t>C4-02-09</t>
  </si>
  <si>
    <t>Room</t>
  </si>
  <si>
    <t>Contact No.</t>
  </si>
  <si>
    <t>HH:MM:SS</t>
  </si>
  <si>
    <t>Days in advance (max 3)</t>
  </si>
  <si>
    <t>Do not have an active cursor in excel when waiting for the booking</t>
  </si>
  <si>
    <t>00:00:00</t>
  </si>
  <si>
    <t>Number of seats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</si>
</sst>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49" fontId="0" fillId="0" borderId="0" xfId="0" applyNumberFormat="1"/>
    <xf numFmtId="164" fontId="0" fillId="0" borderId="0" xfId="0" applyNumberFormat="1"/>
    <xf numFmtId="0" fontId="0" fillId="2" borderId="0" xfId="0" applyFill="1"/>
    <xf numFmtId="164" fontId="0" fillId="2" borderId="0" xfId="0" applyNumberFormat="1" applyFill="1"/>
    <xf numFmtId="0" fontId="0" fillId="3" borderId="0" xfId="0" applyFill="1"/>
    <xf numFmtId="0" fontId="0" fillId="0" borderId="0" xfId="0" applyFill="1"/>
    <xf numFmtId="2" fontId="0" fillId="0" borderId="0" xfId="0" applyNumberFormat="1"/>
    <xf numFmtId="0" fontId="2" fillId="0" borderId="0" xfId="1"/>
    <xf numFmtId="49" fontId="3" fillId="0" borderId="0" xfId="0" applyNumberFormat="1" applyFont="1"/>
    <xf numFmtId="0" fontId="3" fillId="0" borderId="0" xfId="0" applyFont="1"/>
  </cellXfs>
  <cellStyles count="2">
    <cellStyle name="Hyperlink" xfId="1" builtinId="8"/>
    <cellStyle name="Normal" xfId="0" builtinId="0"/>
  </cellStyles>
  <dxfs count="5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133350</xdr:rowOff>
        </xdr:from>
        <xdr:to>
          <xdr:col>8</xdr:col>
          <xdr:colOff>476250</xdr:colOff>
          <xdr:row>2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Manually book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57D61-F5F1-45DC-95C4-53E601F5CEDC}">
  <sheetPr codeName="Sheet1"/>
  <dimension ref="A1:Q30"/>
  <sheetViews>
    <sheetView tabSelected="1" workbookViewId="0">
      <selection activeCell="G10" sqref="G10"/>
    </sheetView>
  </sheetViews>
  <sheetFormatPr defaultRowHeight="15" x14ac:dyDescent="0.25"/>
  <cols>
    <col min="1" max="1" width="11.7109375" customWidth="1"/>
    <col min="3" max="3" width="9.140625" customWidth="1"/>
    <col min="4" max="4" width="8.5703125" customWidth="1"/>
    <col min="5" max="5" width="2" hidden="1" customWidth="1"/>
    <col min="6" max="6" width="9.28515625" style="2" hidden="1" customWidth="1"/>
    <col min="7" max="7" width="9.7109375" customWidth="1"/>
    <col min="8" max="8" width="11.85546875" customWidth="1"/>
    <col min="9" max="9" width="11.140625" customWidth="1"/>
    <col min="10" max="10" width="10.28515625" hidden="1" customWidth="1"/>
    <col min="11" max="11" width="8.5703125" hidden="1" customWidth="1"/>
    <col min="12" max="12" width="8.85546875" hidden="1" customWidth="1"/>
    <col min="13" max="13" width="5" hidden="1" customWidth="1"/>
    <col min="14" max="14" width="8.140625" hidden="1" customWidth="1"/>
    <col min="15" max="15" width="22.42578125" bestFit="1" customWidth="1"/>
    <col min="17" max="17" width="15.7109375" bestFit="1" customWidth="1"/>
  </cols>
  <sheetData>
    <row r="1" spans="1:17" x14ac:dyDescent="0.25">
      <c r="A1" t="s">
        <v>2</v>
      </c>
      <c r="B1" t="s">
        <v>0</v>
      </c>
      <c r="C1" t="s">
        <v>1</v>
      </c>
      <c r="D1" t="s">
        <v>5</v>
      </c>
      <c r="G1" s="9" t="s">
        <v>11</v>
      </c>
      <c r="H1" t="s">
        <v>13</v>
      </c>
      <c r="I1" s="1" t="s">
        <v>16</v>
      </c>
      <c r="O1" s="10" t="s">
        <v>14</v>
      </c>
      <c r="Q1" s="10" t="s">
        <v>17</v>
      </c>
    </row>
    <row r="2" spans="1:17" x14ac:dyDescent="0.25">
      <c r="A2" s="3">
        <v>1</v>
      </c>
      <c r="B2" s="4">
        <v>1130</v>
      </c>
      <c r="C2" s="4">
        <v>1230</v>
      </c>
      <c r="D2" s="5"/>
      <c r="E2">
        <f>IF(AND(C2&gt;B2,NOT(ISBLANK(B2)),NOT(ISBLANK(C2))),1,0)</f>
        <v>1</v>
      </c>
      <c r="F2" s="7">
        <f>VALUE(LEFT(C2,LEN(C2)-2)+IF(RIGHT(C2,2)="30",0.5,0)-VALUE(LEFT(B2,LEN(B2)-2))-IF(RIGHT(B2,2)="30",0.5,0))</f>
        <v>1</v>
      </c>
      <c r="G2" t="s">
        <v>10</v>
      </c>
      <c r="J2">
        <v>7</v>
      </c>
      <c r="K2">
        <v>9</v>
      </c>
      <c r="L2" t="s">
        <v>6</v>
      </c>
      <c r="M2" s="2">
        <v>800</v>
      </c>
      <c r="N2" s="1" t="s">
        <v>16</v>
      </c>
      <c r="O2">
        <v>3</v>
      </c>
      <c r="Q2">
        <v>6</v>
      </c>
    </row>
    <row r="3" spans="1:17" x14ac:dyDescent="0.25">
      <c r="A3" s="3">
        <v>2</v>
      </c>
      <c r="B3" s="4">
        <v>1300</v>
      </c>
      <c r="C3" s="4">
        <v>1500</v>
      </c>
      <c r="D3" s="6"/>
      <c r="E3">
        <f t="shared" ref="E3:E8" si="0">IF(AND(C3&gt;B3,NOT(ISBLANK(B3)),NOT(ISBLANK(C3))),1,0)</f>
        <v>1</v>
      </c>
      <c r="F3" s="7">
        <f t="shared" ref="F3:F8" si="1">VALUE(LEFT(C3,LEN(C3)-2)+IF(RIGHT(C3,2)="30",0.5,0)-VALUE(LEFT(B3,LEN(B3)-2))-IF(RIGHT(B3,2)="30",0.5,0))</f>
        <v>2</v>
      </c>
      <c r="J3">
        <v>10</v>
      </c>
      <c r="K3">
        <v>14</v>
      </c>
      <c r="L3" t="s">
        <v>7</v>
      </c>
      <c r="M3" s="2">
        <v>830</v>
      </c>
      <c r="O3" s="10" t="s">
        <v>12</v>
      </c>
    </row>
    <row r="4" spans="1:17" x14ac:dyDescent="0.25">
      <c r="A4" s="3">
        <v>3</v>
      </c>
      <c r="B4" s="4"/>
      <c r="C4" s="4"/>
      <c r="D4" s="6"/>
      <c r="E4">
        <f t="shared" si="0"/>
        <v>0</v>
      </c>
      <c r="F4" s="7" t="e">
        <f t="shared" si="1"/>
        <v>#VALUE!</v>
      </c>
      <c r="H4" s="8"/>
      <c r="J4">
        <v>13</v>
      </c>
      <c r="K4">
        <v>15</v>
      </c>
      <c r="L4" t="s">
        <v>8</v>
      </c>
      <c r="M4" s="2">
        <v>900</v>
      </c>
    </row>
    <row r="5" spans="1:17" x14ac:dyDescent="0.25">
      <c r="A5" s="3">
        <v>4</v>
      </c>
      <c r="B5" s="3"/>
      <c r="C5" s="3"/>
      <c r="D5" s="6"/>
      <c r="E5">
        <f t="shared" si="0"/>
        <v>0</v>
      </c>
      <c r="F5" s="7" t="e">
        <f t="shared" si="1"/>
        <v>#VALUE!</v>
      </c>
      <c r="G5" t="s">
        <v>15</v>
      </c>
      <c r="L5" t="s">
        <v>9</v>
      </c>
      <c r="M5" s="2">
        <v>930</v>
      </c>
    </row>
    <row r="6" spans="1:17" x14ac:dyDescent="0.25">
      <c r="A6" s="3">
        <v>5</v>
      </c>
      <c r="B6" s="4"/>
      <c r="C6" s="4"/>
      <c r="D6" s="6"/>
      <c r="E6">
        <f t="shared" si="0"/>
        <v>0</v>
      </c>
      <c r="F6" s="7" t="e">
        <f t="shared" si="1"/>
        <v>#VALUE!</v>
      </c>
      <c r="L6" t="s">
        <v>10</v>
      </c>
      <c r="M6" s="2">
        <v>1000</v>
      </c>
    </row>
    <row r="7" spans="1:17" x14ac:dyDescent="0.25">
      <c r="A7" s="3">
        <v>6</v>
      </c>
      <c r="B7" s="4"/>
      <c r="C7" s="4"/>
      <c r="D7" s="6"/>
      <c r="E7">
        <f t="shared" si="0"/>
        <v>0</v>
      </c>
      <c r="F7" s="7" t="e">
        <f t="shared" si="1"/>
        <v>#VALUE!</v>
      </c>
      <c r="M7" s="2">
        <v>1030</v>
      </c>
    </row>
    <row r="8" spans="1:17" x14ac:dyDescent="0.25">
      <c r="A8" s="3">
        <v>7</v>
      </c>
      <c r="B8" s="4"/>
      <c r="C8" s="4"/>
      <c r="D8" s="6"/>
      <c r="E8">
        <f t="shared" si="0"/>
        <v>0</v>
      </c>
      <c r="F8" s="7" t="e">
        <f t="shared" si="1"/>
        <v>#VALUE!</v>
      </c>
      <c r="M8" s="2">
        <v>1100</v>
      </c>
    </row>
    <row r="9" spans="1:17" x14ac:dyDescent="0.25">
      <c r="A9" t="s">
        <v>4</v>
      </c>
      <c r="B9">
        <f>SUM($E$2:$E$8)</f>
        <v>2</v>
      </c>
      <c r="F9"/>
      <c r="M9" s="2">
        <v>1130</v>
      </c>
    </row>
    <row r="10" spans="1:17" x14ac:dyDescent="0.25">
      <c r="A10" t="s">
        <v>3</v>
      </c>
      <c r="B10" s="7">
        <f>SUMIF(F2:F8,"&lt;&gt;#VALUE!")</f>
        <v>3</v>
      </c>
      <c r="F10"/>
      <c r="G10" s="4">
        <v>1130</v>
      </c>
      <c r="H10" s="4">
        <v>1230</v>
      </c>
      <c r="M10" s="2">
        <v>1200</v>
      </c>
    </row>
    <row r="11" spans="1:17" x14ac:dyDescent="0.25">
      <c r="F11"/>
      <c r="G11" s="4">
        <v>1300</v>
      </c>
      <c r="H11" s="4">
        <v>1500</v>
      </c>
      <c r="M11" s="2">
        <v>1230</v>
      </c>
    </row>
    <row r="12" spans="1:17" x14ac:dyDescent="0.25">
      <c r="F12"/>
      <c r="M12" s="2">
        <v>1300</v>
      </c>
    </row>
    <row r="13" spans="1:17" x14ac:dyDescent="0.25">
      <c r="F13"/>
      <c r="M13" s="2">
        <v>1330</v>
      </c>
    </row>
    <row r="14" spans="1:17" x14ac:dyDescent="0.25">
      <c r="F14"/>
      <c r="M14" s="2">
        <v>1400</v>
      </c>
    </row>
    <row r="15" spans="1:17" x14ac:dyDescent="0.25">
      <c r="F15"/>
      <c r="M15" s="2">
        <v>1430</v>
      </c>
    </row>
    <row r="16" spans="1:17" x14ac:dyDescent="0.25">
      <c r="F16"/>
      <c r="M16" s="2">
        <v>1500</v>
      </c>
    </row>
    <row r="17" spans="6:13" x14ac:dyDescent="0.25">
      <c r="F17"/>
      <c r="M17" s="2">
        <v>1530</v>
      </c>
    </row>
    <row r="18" spans="6:13" x14ac:dyDescent="0.25">
      <c r="F18"/>
      <c r="M18" s="2">
        <v>1600</v>
      </c>
    </row>
    <row r="19" spans="6:13" x14ac:dyDescent="0.25">
      <c r="F19"/>
      <c r="M19" s="2">
        <v>1630</v>
      </c>
    </row>
    <row r="20" spans="6:13" x14ac:dyDescent="0.25">
      <c r="F20"/>
      <c r="M20" s="2">
        <v>1700</v>
      </c>
    </row>
    <row r="21" spans="6:13" x14ac:dyDescent="0.25">
      <c r="M21" s="2">
        <v>1730</v>
      </c>
    </row>
    <row r="22" spans="6:13" x14ac:dyDescent="0.25">
      <c r="M22" s="2">
        <v>1800</v>
      </c>
    </row>
    <row r="23" spans="6:13" x14ac:dyDescent="0.25">
      <c r="M23" s="2">
        <v>1830</v>
      </c>
    </row>
    <row r="24" spans="6:13" x14ac:dyDescent="0.25">
      <c r="M24" s="2">
        <v>1900</v>
      </c>
    </row>
    <row r="25" spans="6:13" x14ac:dyDescent="0.25">
      <c r="M25" s="2">
        <v>1930</v>
      </c>
    </row>
    <row r="26" spans="6:13" x14ac:dyDescent="0.25">
      <c r="M26" s="2">
        <v>2000</v>
      </c>
    </row>
    <row r="27" spans="6:13" x14ac:dyDescent="0.25">
      <c r="M27" s="2">
        <v>2030</v>
      </c>
    </row>
    <row r="28" spans="6:13" x14ac:dyDescent="0.25">
      <c r="M28" s="2">
        <v>2100</v>
      </c>
    </row>
    <row r="29" spans="6:13" x14ac:dyDescent="0.25">
      <c r="M29" s="2">
        <v>2130</v>
      </c>
    </row>
    <row r="30" spans="6:13" x14ac:dyDescent="0.25">
      <c r="M30" s="2">
        <v>2200</v>
      </c>
    </row>
  </sheetData>
  <conditionalFormatting sqref="B10">
    <cfRule type="expression" dxfId="4" priority="1">
      <formula>AND($B$10&gt;3)</formula>
    </cfRule>
    <cfRule type="expression" dxfId="3" priority="2">
      <formula>AND($B$10&lt;=3)</formula>
    </cfRule>
  </conditionalFormatting>
  <conditionalFormatting sqref="D2:D8">
    <cfRule type="expression" dxfId="2" priority="7">
      <formula>OR(ISBLANK(B6),ISBLANK(C6))</formula>
    </cfRule>
    <cfRule type="expression" dxfId="1" priority="8">
      <formula>AND(B6&gt;C6,NOT(ISBLANK(B6)),NOT(ISBLANK(C6)))</formula>
    </cfRule>
    <cfRule type="expression" dxfId="0" priority="9">
      <formula>AND(B6&lt;C6,NOT(ISBLANK(B6)),NOT(ISBLANK(C6)))</formula>
    </cfRule>
  </conditionalFormatting>
  <dataValidations count="2">
    <dataValidation type="list" allowBlank="1" showInputMessage="1" showErrorMessage="1" sqref="G2" xr:uid="{1F4649B6-4A3D-4C72-A821-5C8B4B734AF1}">
      <formula1>$L$2:$L$6</formula1>
    </dataValidation>
    <dataValidation type="list" allowBlank="1" showInputMessage="1" showErrorMessage="1" sqref="B2:C8 G10:H11" xr:uid="{E9A5352E-408E-4ED2-9CE9-6966A04FA290}">
      <formula1>$M$2:$M$30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ook">
                <anchor moveWithCells="1" sizeWithCells="1">
                  <from>
                    <xdr:col>7</xdr:col>
                    <xdr:colOff>9525</xdr:colOff>
                    <xdr:row>1</xdr:row>
                    <xdr:rowOff>133350</xdr:rowOff>
                  </from>
                  <to>
                    <xdr:col>8</xdr:col>
                    <xdr:colOff>476250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</dc:creator>
  <cp:lastModifiedBy>matthew</cp:lastModifiedBy>
  <dcterms:created xsi:type="dcterms:W3CDTF">2019-09-12T10:59:48Z</dcterms:created>
  <dcterms:modified xsi:type="dcterms:W3CDTF">2020-04-02T15:56:06Z</dcterms:modified>
</cp:coreProperties>
</file>